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ialue/Downloads/"/>
    </mc:Choice>
  </mc:AlternateContent>
  <xr:revisionPtr revIDLastSave="0" documentId="13_ncr:1_{F153EE0C-7BD7-1D46-B399-466BB2F96FBC}" xr6:coauthVersionLast="47" xr6:coauthVersionMax="47" xr10:uidLastSave="{00000000-0000-0000-0000-000000000000}"/>
  <bookViews>
    <workbookView xWindow="0" yWindow="500" windowWidth="28800" windowHeight="16100" xr2:uid="{9FF8384E-8B27-774F-8C1B-68073780511D}"/>
  </bookViews>
  <sheets>
    <sheet name="March 27" sheetId="2" r:id="rId1"/>
    <sheet name="March 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E24" i="2" s="1"/>
  <c r="D7" i="2"/>
  <c r="B3" i="2"/>
  <c r="J27" i="2"/>
  <c r="J26" i="2"/>
  <c r="J25" i="2"/>
  <c r="J24" i="2"/>
  <c r="J23" i="2"/>
  <c r="G8" i="2"/>
  <c r="H8" i="2" s="1"/>
  <c r="G7" i="2"/>
  <c r="H7" i="2" s="1"/>
  <c r="G6" i="2"/>
  <c r="H6" i="2" s="1"/>
  <c r="K19" i="1"/>
  <c r="J24" i="1"/>
  <c r="J23" i="1"/>
  <c r="K23" i="1"/>
  <c r="K24" i="1"/>
  <c r="J21" i="1"/>
  <c r="J22" i="1"/>
  <c r="K22" i="1" s="1"/>
  <c r="J25" i="1"/>
  <c r="K25" i="1" s="1"/>
  <c r="J26" i="1"/>
  <c r="K26" i="1" s="1"/>
  <c r="J27" i="1"/>
  <c r="K27" i="1" s="1"/>
  <c r="J28" i="1"/>
  <c r="K28" i="1" s="1"/>
  <c r="J20" i="1"/>
  <c r="K20" i="1" s="1"/>
  <c r="J19" i="1"/>
  <c r="E8" i="1"/>
  <c r="E20" i="1"/>
  <c r="J7" i="1"/>
  <c r="K7" i="1" s="1"/>
  <c r="J10" i="1"/>
  <c r="K10" i="1" s="1"/>
  <c r="J11" i="1"/>
  <c r="K11" i="1" s="1"/>
  <c r="J12" i="1"/>
  <c r="K12" i="1" s="1"/>
  <c r="K21" i="1"/>
  <c r="J9" i="1"/>
  <c r="K9" i="1" s="1"/>
  <c r="J8" i="1" l="1"/>
  <c r="K8" i="1" s="1"/>
</calcChain>
</file>

<file path=xl/sharedStrings.xml><?xml version="1.0" encoding="utf-8"?>
<sst xmlns="http://schemas.openxmlformats.org/spreadsheetml/2006/main" count="142" uniqueCount="91">
  <si>
    <t>location: by first gate, snow drift 30-40 cm thick</t>
  </si>
  <si>
    <t>0-2 inches</t>
  </si>
  <si>
    <t>unconsolidated sugar snow</t>
  </si>
  <si>
    <t>2-3 inches</t>
  </si>
  <si>
    <t>hard packed, melt refreeze</t>
  </si>
  <si>
    <t>3-8 inches</t>
  </si>
  <si>
    <t>8 inches</t>
  </si>
  <si>
    <t>hard packed melt/refreeze</t>
  </si>
  <si>
    <t>8-12 inches</t>
  </si>
  <si>
    <t>hard pack</t>
  </si>
  <si>
    <t>sugar</t>
  </si>
  <si>
    <t>Temperature (deg C)</t>
  </si>
  <si>
    <t>base</t>
  </si>
  <si>
    <t>top</t>
  </si>
  <si>
    <t>wedge weight (g)</t>
  </si>
  <si>
    <t>wedge+snow (g)</t>
  </si>
  <si>
    <t>Snow description</t>
  </si>
  <si>
    <t>Density (kg/m3)</t>
  </si>
  <si>
    <t>wedge volume (m3)</t>
  </si>
  <si>
    <t>snow (g)</t>
  </si>
  <si>
    <t>middle</t>
  </si>
  <si>
    <t>gradient (deg C/inch)</t>
  </si>
  <si>
    <t>location: by SNOTEL site</t>
  </si>
  <si>
    <t>some air in the sample, and a stick.  Do not use</t>
  </si>
  <si>
    <t>Notes</t>
  </si>
  <si>
    <t>Total Depth (inches)</t>
  </si>
  <si>
    <t>0-8 inches</t>
  </si>
  <si>
    <t>8-16 inches</t>
  </si>
  <si>
    <t>16-19 inches</t>
  </si>
  <si>
    <t>hard layer (melt refreeze?)</t>
  </si>
  <si>
    <t>19-24 inches</t>
  </si>
  <si>
    <t>24 inches</t>
  </si>
  <si>
    <t>top crust</t>
  </si>
  <si>
    <t>soft layer</t>
  </si>
  <si>
    <t>19-24 inches (top)</t>
  </si>
  <si>
    <t>cohesive snow, sticks together, small grains (1/10th grid), some evidence of rounding</t>
  </si>
  <si>
    <t>Snow pit description from bottom (0 inches) to top (12 inches)</t>
  </si>
  <si>
    <t>Snow pit description from bottom (0 inches) to top (24 inches)</t>
  </si>
  <si>
    <t>0-5 inches (bottom)</t>
  </si>
  <si>
    <t>5-10 inches</t>
  </si>
  <si>
    <t>10-15 inches</t>
  </si>
  <si>
    <t>15-19 inches</t>
  </si>
  <si>
    <t>cohesive chunks, large grains</t>
  </si>
  <si>
    <t>less cohesive sugar snow - fell out when dumped, soft</t>
  </si>
  <si>
    <t>slabbing up cohesive, smaller grains, doesn't fall out when dumped</t>
  </si>
  <si>
    <t>hard icey layer surrounded by sugar snow</t>
  </si>
  <si>
    <t>niwot1</t>
  </si>
  <si>
    <t>niwot2</t>
  </si>
  <si>
    <t>Name</t>
  </si>
  <si>
    <t>Time</t>
  </si>
  <si>
    <t>picture of the entire pit</t>
  </si>
  <si>
    <t>picture of entire pit with sled</t>
  </si>
  <si>
    <t>niwot3</t>
  </si>
  <si>
    <t>Site #1 "gate"</t>
  </si>
  <si>
    <t>Site #2 "niwot" - 11:08 am start, 11:32 am finish</t>
  </si>
  <si>
    <t>TO DO:</t>
  </si>
  <si>
    <t>Bottom of the pit is 0 inches</t>
  </si>
  <si>
    <t>First - measure total snow depth.  Measure near the pit to get a sense of the variability.</t>
  </si>
  <si>
    <t>Second - dig a pit - make sure that you do not disturb where you will measure.  Carve a flat face to make measurements</t>
  </si>
  <si>
    <t>Third - make measurements in the put</t>
  </si>
  <si>
    <t>1) Temperature at the pit top and bottom (and through the pit if you want).  Make sure to give time for the temperature to equilibrate (~3-5 minutes)</t>
  </si>
  <si>
    <t>0) describe the snow pit structure from bottom (0 inches) to top.  Include all layers, their strength, snow crystal size and shape, influence of melt?</t>
  </si>
  <si>
    <t>2) Every 5 inches - make a representative snow density measurement.  Include a snow description with each snow density measurement made.</t>
  </si>
  <si>
    <t>3) take picture of the entire pit and of any interesting features.</t>
  </si>
  <si>
    <t>Group #1</t>
  </si>
  <si>
    <t>location: by Niwot SNOTEL</t>
  </si>
  <si>
    <t>Total Depth (cm)</t>
  </si>
  <si>
    <t>0-6 cm</t>
  </si>
  <si>
    <t>6-26 cm</t>
  </si>
  <si>
    <t>bottom</t>
  </si>
  <si>
    <t>description</t>
  </si>
  <si>
    <t>xstal size</t>
  </si>
  <si>
    <t>general observations: overcast, no solar disk, a few snow. Flakes</t>
  </si>
  <si>
    <t>snow crust on top, evidence of melt re-freeze, softer underneath, sugar snow large round grains at the bottom, logs/veg</t>
  </si>
  <si>
    <t>depth (0=bottom)</t>
  </si>
  <si>
    <t>0-21 cm</t>
  </si>
  <si>
    <t>21 cm</t>
  </si>
  <si>
    <t>21-38 cm</t>
  </si>
  <si>
    <t>took many independent snow temperature</t>
  </si>
  <si>
    <t>measurements - all 0 degrees</t>
  </si>
  <si>
    <t>unconsolidated sugar snow, 1 square of snow crystal card = crystals fill it (size estimate)</t>
  </si>
  <si>
    <t>1/2 square of snow crystal card = crystals fill it (size estimate)</t>
  </si>
  <si>
    <t>38-47 cm</t>
  </si>
  <si>
    <t>pit dimensions: 190 cm = measured face, 120 cm length, 48 cm average depth</t>
  </si>
  <si>
    <t>top 22 cm</t>
  </si>
  <si>
    <t>top 43 cm</t>
  </si>
  <si>
    <t>top 32 cm</t>
  </si>
  <si>
    <t>top 16 cm</t>
  </si>
  <si>
    <t>top 48 cm</t>
  </si>
  <si>
    <t>Group #2 - 10:42 am</t>
  </si>
  <si>
    <t>26-42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</si>
</sst>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7DDE-AB47-B844-813F-5EC9BDC2F632}">
  <dimension ref="A1:J35"/>
  <sheetViews>
    <sheetView tabSelected="1" workbookViewId="0">
      <selection activeCell="A8" sqref="A8"/>
    </sheetView>
  </sheetViews>
  <sheetFormatPr baseColWidth="10" defaultRowHeight="16" x14ac:dyDescent="0.2"/>
  <cols>
    <col min="1" max="1" width="17.6640625" customWidth="1"/>
    <col min="2" max="2" width="24.83203125" customWidth="1"/>
    <col min="3" max="3" width="11.6640625" bestFit="1" customWidth="1"/>
    <col min="4" max="4" width="11.6640625" customWidth="1"/>
    <col min="5" max="5" width="17.83203125" bestFit="1" customWidth="1"/>
    <col min="7" max="7" width="16.83203125" bestFit="1" customWidth="1"/>
    <col min="8" max="8" width="14.5" bestFit="1" customWidth="1"/>
    <col min="10" max="10" width="13.83203125" bestFit="1" customWidth="1"/>
  </cols>
  <sheetData>
    <row r="1" spans="1:8" x14ac:dyDescent="0.2">
      <c r="A1" s="1" t="s">
        <v>64</v>
      </c>
    </row>
    <row r="2" spans="1:8" x14ac:dyDescent="0.2">
      <c r="A2" t="s">
        <v>65</v>
      </c>
      <c r="E2" t="s">
        <v>18</v>
      </c>
      <c r="F2">
        <v>1E-3</v>
      </c>
    </row>
    <row r="3" spans="1:8" x14ac:dyDescent="0.2">
      <c r="A3" t="s">
        <v>66</v>
      </c>
      <c r="B3">
        <f>AVERAGE(42,39,37,38,28,26,32,31,31)</f>
        <v>33.777777777777779</v>
      </c>
    </row>
    <row r="5" spans="1:8" x14ac:dyDescent="0.2">
      <c r="A5" t="s">
        <v>74</v>
      </c>
      <c r="B5" t="s">
        <v>70</v>
      </c>
      <c r="C5" t="s">
        <v>11</v>
      </c>
      <c r="D5" t="s">
        <v>71</v>
      </c>
      <c r="E5" t="s">
        <v>14</v>
      </c>
      <c r="F5" t="s">
        <v>15</v>
      </c>
      <c r="G5" t="s">
        <v>19</v>
      </c>
      <c r="H5" t="s">
        <v>17</v>
      </c>
    </row>
    <row r="6" spans="1:8" x14ac:dyDescent="0.2">
      <c r="A6" t="s">
        <v>67</v>
      </c>
      <c r="B6" t="s">
        <v>69</v>
      </c>
      <c r="C6">
        <v>0</v>
      </c>
      <c r="D6">
        <v>2</v>
      </c>
      <c r="E6">
        <v>1254</v>
      </c>
      <c r="F6">
        <v>1616</v>
      </c>
      <c r="G6">
        <f>F6-E6</f>
        <v>362</v>
      </c>
      <c r="H6">
        <f>G6*1000*$F$2</f>
        <v>362</v>
      </c>
    </row>
    <row r="7" spans="1:8" x14ac:dyDescent="0.2">
      <c r="A7" t="s">
        <v>68</v>
      </c>
      <c r="B7" t="s">
        <v>20</v>
      </c>
      <c r="C7">
        <v>-1</v>
      </c>
      <c r="D7" t="str">
        <f>"1-2"</f>
        <v>1-2</v>
      </c>
      <c r="E7">
        <v>1254</v>
      </c>
      <c r="F7">
        <v>1367</v>
      </c>
      <c r="G7">
        <f>F7-E7</f>
        <v>113</v>
      </c>
      <c r="H7">
        <f>G7*1000*$F$2</f>
        <v>113</v>
      </c>
    </row>
    <row r="8" spans="1:8" x14ac:dyDescent="0.2">
      <c r="A8" t="s">
        <v>90</v>
      </c>
      <c r="B8" t="s">
        <v>13</v>
      </c>
      <c r="C8">
        <v>-1</v>
      </c>
      <c r="D8">
        <v>1</v>
      </c>
      <c r="E8">
        <v>1254</v>
      </c>
      <c r="F8">
        <v>1665</v>
      </c>
      <c r="G8">
        <f>F8-E8</f>
        <v>411</v>
      </c>
      <c r="H8">
        <f>G8*1000*$F$2</f>
        <v>411</v>
      </c>
    </row>
    <row r="13" spans="1:8" x14ac:dyDescent="0.2">
      <c r="A13" s="1" t="s">
        <v>89</v>
      </c>
    </row>
    <row r="14" spans="1:8" x14ac:dyDescent="0.2">
      <c r="A14" t="s">
        <v>65</v>
      </c>
    </row>
    <row r="15" spans="1:8" x14ac:dyDescent="0.2">
      <c r="A15" t="s">
        <v>66</v>
      </c>
      <c r="B15">
        <f>AVERAGE(47,49,49,45,46)</f>
        <v>47.2</v>
      </c>
    </row>
    <row r="17" spans="1:10" x14ac:dyDescent="0.2">
      <c r="A17" t="s">
        <v>72</v>
      </c>
    </row>
    <row r="18" spans="1:10" x14ac:dyDescent="0.2">
      <c r="A18" t="s">
        <v>73</v>
      </c>
    </row>
    <row r="20" spans="1:10" x14ac:dyDescent="0.2">
      <c r="G20" t="s">
        <v>18</v>
      </c>
      <c r="H20">
        <v>1E-3</v>
      </c>
    </row>
    <row r="21" spans="1:10" x14ac:dyDescent="0.2">
      <c r="A21" t="s">
        <v>37</v>
      </c>
      <c r="E21" t="s">
        <v>11</v>
      </c>
    </row>
    <row r="22" spans="1:10" x14ac:dyDescent="0.2">
      <c r="A22" t="s">
        <v>75</v>
      </c>
      <c r="B22" t="s">
        <v>80</v>
      </c>
      <c r="D22" t="s">
        <v>13</v>
      </c>
      <c r="E22">
        <v>0</v>
      </c>
      <c r="H22" t="s">
        <v>14</v>
      </c>
      <c r="I22" t="s">
        <v>19</v>
      </c>
      <c r="J22" t="s">
        <v>17</v>
      </c>
    </row>
    <row r="23" spans="1:10" x14ac:dyDescent="0.2">
      <c r="A23" t="s">
        <v>76</v>
      </c>
      <c r="B23" t="s">
        <v>29</v>
      </c>
      <c r="D23" t="s">
        <v>12</v>
      </c>
      <c r="E23">
        <v>0</v>
      </c>
      <c r="G23" t="s">
        <v>84</v>
      </c>
      <c r="H23">
        <v>1249</v>
      </c>
      <c r="I23">
        <v>349</v>
      </c>
      <c r="J23">
        <f>I23*1000*$F$2</f>
        <v>349</v>
      </c>
    </row>
    <row r="24" spans="1:10" x14ac:dyDescent="0.2">
      <c r="A24" t="s">
        <v>77</v>
      </c>
      <c r="B24" t="s">
        <v>81</v>
      </c>
      <c r="D24" t="s">
        <v>21</v>
      </c>
      <c r="E24">
        <f>(E23-E22)/B15</f>
        <v>0</v>
      </c>
      <c r="G24" t="s">
        <v>85</v>
      </c>
      <c r="H24">
        <v>1249</v>
      </c>
      <c r="I24">
        <v>315</v>
      </c>
      <c r="J24">
        <f>I24*1000*$F$2</f>
        <v>315</v>
      </c>
    </row>
    <row r="25" spans="1:10" x14ac:dyDescent="0.2">
      <c r="A25" t="s">
        <v>82</v>
      </c>
      <c r="B25" t="s">
        <v>32</v>
      </c>
      <c r="D25" t="s">
        <v>78</v>
      </c>
      <c r="G25" t="s">
        <v>86</v>
      </c>
      <c r="H25">
        <v>1249</v>
      </c>
      <c r="I25">
        <v>268</v>
      </c>
      <c r="J25">
        <f>I25*1000*$F$2</f>
        <v>268</v>
      </c>
    </row>
    <row r="26" spans="1:10" x14ac:dyDescent="0.2">
      <c r="D26" t="s">
        <v>79</v>
      </c>
      <c r="G26" t="s">
        <v>87</v>
      </c>
      <c r="H26">
        <v>1249</v>
      </c>
      <c r="I26">
        <v>334</v>
      </c>
      <c r="J26">
        <f>I26*1000*$F$2</f>
        <v>334</v>
      </c>
    </row>
    <row r="27" spans="1:10" x14ac:dyDescent="0.2">
      <c r="G27" t="s">
        <v>88</v>
      </c>
      <c r="H27">
        <v>1249</v>
      </c>
      <c r="I27">
        <v>332</v>
      </c>
      <c r="J27">
        <f>I27*1000*$F$2</f>
        <v>332</v>
      </c>
    </row>
    <row r="29" spans="1:10" x14ac:dyDescent="0.2">
      <c r="A29" t="s">
        <v>83</v>
      </c>
    </row>
    <row r="35" spans="8:8" x14ac:dyDescent="0.2">
      <c r="H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450B-5B6D-8F40-859B-9802FD364CBF}">
  <dimension ref="A1:L44"/>
  <sheetViews>
    <sheetView workbookViewId="0">
      <selection activeCell="C57" sqref="C57"/>
    </sheetView>
  </sheetViews>
  <sheetFormatPr baseColWidth="10" defaultRowHeight="16" x14ac:dyDescent="0.2"/>
  <cols>
    <col min="1" max="1" width="17.6640625" customWidth="1"/>
    <col min="2" max="2" width="24.83203125" customWidth="1"/>
    <col min="3" max="3" width="11.6640625" bestFit="1" customWidth="1"/>
    <col min="4" max="4" width="11.6640625" customWidth="1"/>
    <col min="5" max="5" width="17.83203125" bestFit="1" customWidth="1"/>
    <col min="7" max="7" width="16.83203125" bestFit="1" customWidth="1"/>
    <col min="8" max="8" width="14.5" bestFit="1" customWidth="1"/>
    <col min="9" max="9" width="14" bestFit="1" customWidth="1"/>
    <col min="11" max="11" width="13.83203125" bestFit="1" customWidth="1"/>
  </cols>
  <sheetData>
    <row r="1" spans="1:12" x14ac:dyDescent="0.2">
      <c r="A1" s="1" t="s">
        <v>53</v>
      </c>
    </row>
    <row r="2" spans="1:12" x14ac:dyDescent="0.2">
      <c r="A2" t="s">
        <v>0</v>
      </c>
    </row>
    <row r="3" spans="1:12" x14ac:dyDescent="0.2">
      <c r="A3" t="s">
        <v>25</v>
      </c>
      <c r="B3">
        <v>12</v>
      </c>
    </row>
    <row r="4" spans="1:12" x14ac:dyDescent="0.2">
      <c r="G4" t="s">
        <v>18</v>
      </c>
      <c r="H4">
        <v>1E-3</v>
      </c>
    </row>
    <row r="5" spans="1:12" x14ac:dyDescent="0.2">
      <c r="A5" t="s">
        <v>36</v>
      </c>
      <c r="E5" t="s">
        <v>11</v>
      </c>
    </row>
    <row r="6" spans="1:12" x14ac:dyDescent="0.2">
      <c r="A6" t="s">
        <v>1</v>
      </c>
      <c r="B6" t="s">
        <v>2</v>
      </c>
      <c r="D6" t="s">
        <v>13</v>
      </c>
      <c r="E6">
        <v>-4</v>
      </c>
      <c r="H6" t="s">
        <v>14</v>
      </c>
      <c r="I6" t="s">
        <v>15</v>
      </c>
      <c r="J6" t="s">
        <v>19</v>
      </c>
      <c r="K6" t="s">
        <v>17</v>
      </c>
      <c r="L6" t="s">
        <v>24</v>
      </c>
    </row>
    <row r="7" spans="1:12" x14ac:dyDescent="0.2">
      <c r="A7" t="s">
        <v>3</v>
      </c>
      <c r="B7" t="s">
        <v>4</v>
      </c>
      <c r="D7" t="s">
        <v>12</v>
      </c>
      <c r="E7">
        <v>1</v>
      </c>
      <c r="G7" t="s">
        <v>13</v>
      </c>
      <c r="H7">
        <v>1255</v>
      </c>
      <c r="I7">
        <v>1493</v>
      </c>
      <c r="J7">
        <f>I7-H7</f>
        <v>238</v>
      </c>
      <c r="K7">
        <f t="shared" ref="K7:K12" si="0">J7*1000*$H$4</f>
        <v>238</v>
      </c>
      <c r="L7" t="s">
        <v>23</v>
      </c>
    </row>
    <row r="8" spans="1:12" x14ac:dyDescent="0.2">
      <c r="A8" t="s">
        <v>5</v>
      </c>
      <c r="B8" t="s">
        <v>2</v>
      </c>
      <c r="D8" t="s">
        <v>21</v>
      </c>
      <c r="E8">
        <f>(E7-E6)/B3</f>
        <v>0.41666666666666669</v>
      </c>
      <c r="G8" t="s">
        <v>13</v>
      </c>
      <c r="H8">
        <v>1255</v>
      </c>
      <c r="I8">
        <v>1600</v>
      </c>
      <c r="J8">
        <f>I8-H8</f>
        <v>345</v>
      </c>
      <c r="K8">
        <f t="shared" si="0"/>
        <v>345</v>
      </c>
    </row>
    <row r="9" spans="1:12" x14ac:dyDescent="0.2">
      <c r="A9" t="s">
        <v>6</v>
      </c>
      <c r="B9" t="s">
        <v>7</v>
      </c>
      <c r="G9" t="s">
        <v>20</v>
      </c>
      <c r="H9">
        <v>1255</v>
      </c>
      <c r="I9">
        <v>1576</v>
      </c>
      <c r="J9">
        <f>I9-H9</f>
        <v>321</v>
      </c>
      <c r="K9">
        <f t="shared" si="0"/>
        <v>321</v>
      </c>
    </row>
    <row r="10" spans="1:12" x14ac:dyDescent="0.2">
      <c r="A10" t="s">
        <v>8</v>
      </c>
      <c r="B10" t="s">
        <v>9</v>
      </c>
      <c r="G10" t="s">
        <v>20</v>
      </c>
      <c r="H10">
        <v>1255</v>
      </c>
      <c r="I10">
        <v>1532</v>
      </c>
      <c r="J10">
        <f t="shared" ref="J10:J12" si="1">I10-H10</f>
        <v>277</v>
      </c>
      <c r="K10">
        <f t="shared" si="0"/>
        <v>277</v>
      </c>
    </row>
    <row r="11" spans="1:12" x14ac:dyDescent="0.2">
      <c r="A11" t="s">
        <v>10</v>
      </c>
      <c r="G11" t="s">
        <v>13</v>
      </c>
      <c r="H11">
        <v>1255</v>
      </c>
      <c r="I11">
        <v>1593</v>
      </c>
      <c r="J11">
        <f t="shared" si="1"/>
        <v>338</v>
      </c>
      <c r="K11">
        <f t="shared" si="0"/>
        <v>338</v>
      </c>
    </row>
    <row r="12" spans="1:12" x14ac:dyDescent="0.2">
      <c r="G12" t="s">
        <v>13</v>
      </c>
      <c r="H12">
        <v>1255</v>
      </c>
      <c r="I12">
        <v>1547</v>
      </c>
      <c r="J12">
        <f t="shared" si="1"/>
        <v>292</v>
      </c>
      <c r="K12">
        <f t="shared" si="0"/>
        <v>292</v>
      </c>
    </row>
    <row r="13" spans="1:12" x14ac:dyDescent="0.2">
      <c r="A13" s="1" t="s">
        <v>54</v>
      </c>
    </row>
    <row r="14" spans="1:12" x14ac:dyDescent="0.2">
      <c r="A14" t="s">
        <v>22</v>
      </c>
    </row>
    <row r="15" spans="1:12" x14ac:dyDescent="0.2">
      <c r="A15" t="s">
        <v>25</v>
      </c>
      <c r="B15">
        <v>24</v>
      </c>
    </row>
    <row r="16" spans="1:12" x14ac:dyDescent="0.2">
      <c r="G16" t="s">
        <v>18</v>
      </c>
      <c r="H16">
        <v>1E-3</v>
      </c>
    </row>
    <row r="17" spans="1:12" x14ac:dyDescent="0.2">
      <c r="A17" t="s">
        <v>37</v>
      </c>
      <c r="E17" t="s">
        <v>11</v>
      </c>
    </row>
    <row r="18" spans="1:12" x14ac:dyDescent="0.2">
      <c r="A18" t="s">
        <v>26</v>
      </c>
      <c r="B18" t="s">
        <v>2</v>
      </c>
      <c r="D18" t="s">
        <v>13</v>
      </c>
      <c r="E18">
        <v>-2</v>
      </c>
      <c r="H18" t="s">
        <v>14</v>
      </c>
      <c r="I18" t="s">
        <v>15</v>
      </c>
      <c r="J18" t="s">
        <v>19</v>
      </c>
      <c r="K18" t="s">
        <v>17</v>
      </c>
      <c r="L18" t="s">
        <v>16</v>
      </c>
    </row>
    <row r="19" spans="1:12" x14ac:dyDescent="0.2">
      <c r="A19" t="s">
        <v>6</v>
      </c>
      <c r="B19" t="s">
        <v>29</v>
      </c>
      <c r="D19" t="s">
        <v>12</v>
      </c>
      <c r="E19">
        <v>0</v>
      </c>
      <c r="G19" t="s">
        <v>34</v>
      </c>
      <c r="H19">
        <v>1251</v>
      </c>
      <c r="I19">
        <v>1466</v>
      </c>
      <c r="J19">
        <f t="shared" ref="J19:J24" si="2">I19-H19</f>
        <v>215</v>
      </c>
      <c r="K19">
        <f>J19*1000*$H$4</f>
        <v>215</v>
      </c>
      <c r="L19" t="s">
        <v>35</v>
      </c>
    </row>
    <row r="20" spans="1:12" x14ac:dyDescent="0.2">
      <c r="A20" t="s">
        <v>27</v>
      </c>
      <c r="B20" t="s">
        <v>2</v>
      </c>
      <c r="D20" t="s">
        <v>21</v>
      </c>
      <c r="E20">
        <f>(E19-E18)/B15</f>
        <v>8.3333333333333329E-2</v>
      </c>
      <c r="G20" t="s">
        <v>34</v>
      </c>
      <c r="H20">
        <v>1251</v>
      </c>
      <c r="I20">
        <v>1461</v>
      </c>
      <c r="J20">
        <f t="shared" si="2"/>
        <v>210</v>
      </c>
      <c r="K20">
        <f t="shared" ref="K20:K28" si="3">J20*1000*$H$4</f>
        <v>210</v>
      </c>
      <c r="L20" t="s">
        <v>35</v>
      </c>
    </row>
    <row r="21" spans="1:12" x14ac:dyDescent="0.2">
      <c r="A21" t="s">
        <v>28</v>
      </c>
      <c r="B21" t="s">
        <v>29</v>
      </c>
      <c r="G21" t="s">
        <v>41</v>
      </c>
      <c r="H21">
        <v>1251</v>
      </c>
      <c r="I21">
        <v>1509</v>
      </c>
      <c r="J21">
        <f t="shared" si="2"/>
        <v>258</v>
      </c>
      <c r="K21">
        <f t="shared" si="3"/>
        <v>258</v>
      </c>
      <c r="L21" t="s">
        <v>44</v>
      </c>
    </row>
    <row r="22" spans="1:12" x14ac:dyDescent="0.2">
      <c r="A22" t="s">
        <v>30</v>
      </c>
      <c r="B22" t="s">
        <v>33</v>
      </c>
      <c r="G22" t="s">
        <v>41</v>
      </c>
      <c r="H22">
        <v>1251</v>
      </c>
      <c r="I22">
        <v>1497</v>
      </c>
      <c r="J22">
        <f t="shared" si="2"/>
        <v>246</v>
      </c>
      <c r="K22">
        <f t="shared" si="3"/>
        <v>246</v>
      </c>
      <c r="L22" t="s">
        <v>44</v>
      </c>
    </row>
    <row r="23" spans="1:12" x14ac:dyDescent="0.2">
      <c r="A23" t="s">
        <v>31</v>
      </c>
      <c r="B23" t="s">
        <v>32</v>
      </c>
      <c r="G23" t="s">
        <v>40</v>
      </c>
      <c r="H23">
        <v>1251</v>
      </c>
      <c r="I23">
        <v>1478</v>
      </c>
      <c r="J23">
        <f t="shared" si="2"/>
        <v>227</v>
      </c>
      <c r="K23">
        <f t="shared" si="3"/>
        <v>227</v>
      </c>
      <c r="L23" t="s">
        <v>43</v>
      </c>
    </row>
    <row r="24" spans="1:12" x14ac:dyDescent="0.2">
      <c r="G24" t="s">
        <v>40</v>
      </c>
      <c r="H24">
        <v>1251</v>
      </c>
      <c r="I24">
        <v>1487</v>
      </c>
      <c r="J24">
        <f t="shared" si="2"/>
        <v>236</v>
      </c>
      <c r="K24">
        <f t="shared" si="3"/>
        <v>236</v>
      </c>
      <c r="L24" t="s">
        <v>43</v>
      </c>
    </row>
    <row r="25" spans="1:12" x14ac:dyDescent="0.2">
      <c r="G25" t="s">
        <v>39</v>
      </c>
      <c r="H25">
        <v>1251</v>
      </c>
      <c r="I25">
        <v>1529</v>
      </c>
      <c r="J25">
        <f>I25-H25</f>
        <v>278</v>
      </c>
      <c r="K25">
        <f t="shared" si="3"/>
        <v>278</v>
      </c>
      <c r="L25" t="s">
        <v>45</v>
      </c>
    </row>
    <row r="26" spans="1:12" x14ac:dyDescent="0.2">
      <c r="G26" t="s">
        <v>39</v>
      </c>
      <c r="H26">
        <v>1251</v>
      </c>
      <c r="I26">
        <v>1559</v>
      </c>
      <c r="J26">
        <f>I26-H26</f>
        <v>308</v>
      </c>
      <c r="K26">
        <f t="shared" si="3"/>
        <v>308</v>
      </c>
      <c r="L26" t="s">
        <v>45</v>
      </c>
    </row>
    <row r="27" spans="1:12" x14ac:dyDescent="0.2">
      <c r="G27" t="s">
        <v>38</v>
      </c>
      <c r="H27">
        <v>1251</v>
      </c>
      <c r="I27">
        <v>1547</v>
      </c>
      <c r="J27">
        <f>I27-H27</f>
        <v>296</v>
      </c>
      <c r="K27">
        <f t="shared" si="3"/>
        <v>296</v>
      </c>
      <c r="L27" t="s">
        <v>42</v>
      </c>
    </row>
    <row r="28" spans="1:12" x14ac:dyDescent="0.2">
      <c r="G28" t="s">
        <v>38</v>
      </c>
      <c r="H28">
        <v>1251</v>
      </c>
      <c r="I28">
        <v>1546</v>
      </c>
      <c r="J28">
        <f>I28-H28</f>
        <v>295</v>
      </c>
      <c r="K28">
        <f t="shared" si="3"/>
        <v>295</v>
      </c>
      <c r="L28" t="s">
        <v>42</v>
      </c>
    </row>
    <row r="30" spans="1:12" x14ac:dyDescent="0.2">
      <c r="G30" t="s">
        <v>48</v>
      </c>
      <c r="H30" t="s">
        <v>49</v>
      </c>
    </row>
    <row r="31" spans="1:12" x14ac:dyDescent="0.2">
      <c r="G31" t="s">
        <v>46</v>
      </c>
      <c r="H31" s="2">
        <v>0.48055555555555557</v>
      </c>
      <c r="I31" t="s">
        <v>50</v>
      </c>
    </row>
    <row r="32" spans="1:12" x14ac:dyDescent="0.2">
      <c r="G32" t="s">
        <v>47</v>
      </c>
      <c r="I32" t="s">
        <v>51</v>
      </c>
    </row>
    <row r="33" spans="1:7" x14ac:dyDescent="0.2">
      <c r="G33" t="s">
        <v>52</v>
      </c>
    </row>
    <row r="35" spans="1:7" x14ac:dyDescent="0.2">
      <c r="A35" t="s">
        <v>55</v>
      </c>
    </row>
    <row r="36" spans="1:7" x14ac:dyDescent="0.2">
      <c r="A36" t="s">
        <v>56</v>
      </c>
    </row>
    <row r="38" spans="1:7" x14ac:dyDescent="0.2">
      <c r="A38" t="s">
        <v>57</v>
      </c>
    </row>
    <row r="39" spans="1:7" x14ac:dyDescent="0.2">
      <c r="A39" t="s">
        <v>58</v>
      </c>
    </row>
    <row r="40" spans="1:7" x14ac:dyDescent="0.2">
      <c r="A40" t="s">
        <v>59</v>
      </c>
    </row>
    <row r="41" spans="1:7" x14ac:dyDescent="0.2">
      <c r="A41" t="s">
        <v>61</v>
      </c>
    </row>
    <row r="42" spans="1:7" x14ac:dyDescent="0.2">
      <c r="A42" t="s">
        <v>60</v>
      </c>
    </row>
    <row r="43" spans="1:7" x14ac:dyDescent="0.2">
      <c r="A43" t="s">
        <v>62</v>
      </c>
    </row>
    <row r="44" spans="1:7" x14ac:dyDescent="0.2">
      <c r="A4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March 27</vt:lpstr>
      <vt:lpstr>March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E. Kay</dc:creator>
  <cp:lastModifiedBy>Saria Lue</cp:lastModifiedBy>
  <dcterms:created xsi:type="dcterms:W3CDTF">2026-03-04T21:54:36Z</dcterms:created>
  <dcterms:modified xsi:type="dcterms:W3CDTF">2026-04-14T20:03:44Z</dcterms:modified>
</cp:coreProperties>
</file>